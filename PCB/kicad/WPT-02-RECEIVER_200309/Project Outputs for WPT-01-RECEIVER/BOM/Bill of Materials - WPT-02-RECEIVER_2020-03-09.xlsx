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Dropbox\dev\prj\commissioned\University of Tokyo\WPT\electric\kicad\WPT-02-RECEIVER\Project Outputs for WPT-01-RECEIVER\BOM\"/>
    </mc:Choice>
  </mc:AlternateContent>
  <bookViews>
    <workbookView xWindow="0" yWindow="0" windowWidth="28650" windowHeight="11025"/>
  </bookViews>
  <sheets>
    <sheet name="Bill of Materials - WPT-02-RECE" sheetId="1" r:id="rId1"/>
  </sheets>
  <calcPr calcId="0"/>
</workbook>
</file>

<file path=xl/calcChain.xml><?xml version="1.0" encoding="utf-8"?>
<calcChain xmlns="http://schemas.openxmlformats.org/spreadsheetml/2006/main">
  <c r="I51" i="1" l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</calcChain>
</file>

<file path=xl/sharedStrings.xml><?xml version="1.0" encoding="utf-8"?>
<sst xmlns="http://schemas.openxmlformats.org/spreadsheetml/2006/main" count="326" uniqueCount="220">
  <si>
    <t>Source:</t>
  </si>
  <si>
    <t>E:\Dropbox\dev\prj\commissioned\University of Tokyo\WPT\electric\kicad\WPT-02-RECEIVER\WPT-02-RECEIVER.sch</t>
  </si>
  <si>
    <t>Date:</t>
  </si>
  <si>
    <t>09/03/2020 07:57:30</t>
  </si>
  <si>
    <t>Tool:</t>
  </si>
  <si>
    <t>Eeschema (5.1.5)-3</t>
  </si>
  <si>
    <t>Generator:</t>
  </si>
  <si>
    <t>E:\Dropbox\dev\prj\kicad-library/bom_csv_grouped_by_value_with_fp.py</t>
  </si>
  <si>
    <t>Component Count:</t>
  </si>
  <si>
    <t>Comment</t>
  </si>
  <si>
    <t>Description</t>
  </si>
  <si>
    <t>Designator</t>
  </si>
  <si>
    <t>Footprint</t>
  </si>
  <si>
    <t>Manufacturer</t>
  </si>
  <si>
    <t>Manufacturer Part Number</t>
  </si>
  <si>
    <t>Qnty</t>
  </si>
  <si>
    <t>0.022u/50(X7R)</t>
  </si>
  <si>
    <t>CAP CER 0.022UF 50V X7R 0402</t>
  </si>
  <si>
    <t xml:space="preserve">C101, </t>
  </si>
  <si>
    <t>murata:GRM15</t>
  </si>
  <si>
    <t xml:space="preserve">Murata Electronics </t>
  </si>
  <si>
    <t>GRM155R71H223KA12D</t>
  </si>
  <si>
    <t>10u/50(X5R)</t>
  </si>
  <si>
    <t>CAP CER 10UF 50V X5R 1206</t>
  </si>
  <si>
    <t xml:space="preserve">C102, C107, </t>
  </si>
  <si>
    <t>murata:GRM31</t>
  </si>
  <si>
    <t>Samsung Electro-Mechanics</t>
  </si>
  <si>
    <t>CL31A106KBHNNNE</t>
  </si>
  <si>
    <t>0.1u/50(X7R)</t>
  </si>
  <si>
    <t>CAP CER 0.1UF 50V X7R 0402</t>
  </si>
  <si>
    <t xml:space="preserve">C103, C104, C116, C119, </t>
  </si>
  <si>
    <t>GCM155R71H104KE02D</t>
  </si>
  <si>
    <t>1000p/50(C0G)</t>
  </si>
  <si>
    <t>CAP CER 1000PF 50V 5% NP0 0402</t>
  </si>
  <si>
    <t xml:space="preserve">C105, </t>
  </si>
  <si>
    <t>GRM1555C1H102JA01D</t>
  </si>
  <si>
    <t>0.1u/100(X7R)</t>
  </si>
  <si>
    <t>CAP CER 0.1UF 100V X7R 0805</t>
  </si>
  <si>
    <t xml:space="preserve">C106, </t>
  </si>
  <si>
    <t>murata:GRM21</t>
  </si>
  <si>
    <t>Murata Electronics</t>
  </si>
  <si>
    <t>GCM21BR72A104KA37L</t>
  </si>
  <si>
    <t>22u/16(X5R)</t>
  </si>
  <si>
    <t>CAP CER 22UF 16V X5R 0805</t>
  </si>
  <si>
    <t xml:space="preserve">C108, C109, </t>
  </si>
  <si>
    <t>CL21A226MOCLRNC</t>
  </si>
  <si>
    <t>10n/50(X7R)</t>
  </si>
  <si>
    <t>CAP CER 10000PF 50V X7R 0402</t>
  </si>
  <si>
    <t xml:space="preserve">C110, </t>
  </si>
  <si>
    <t>Yageo</t>
  </si>
  <si>
    <t>CC0402KRX7R9BB103</t>
  </si>
  <si>
    <t>10u/25(X5R)</t>
  </si>
  <si>
    <t>CAP CER 10UF 25V 20% X5R 0603</t>
  </si>
  <si>
    <t xml:space="preserve">C111, </t>
  </si>
  <si>
    <t>murata:GRM18</t>
  </si>
  <si>
    <t>GRM188R61E106MA73D</t>
  </si>
  <si>
    <t>22u/10(X5R)</t>
  </si>
  <si>
    <t>CAP CER 22UF 10V X5R 0603</t>
  </si>
  <si>
    <t xml:space="preserve">C112, C122, </t>
  </si>
  <si>
    <t>GRM188R61A226ME15D</t>
  </si>
  <si>
    <t>68p/50(C0G)</t>
  </si>
  <si>
    <t>CAP CER 68PF 50V C0G/NP0 0402</t>
  </si>
  <si>
    <t xml:space="preserve">C113, </t>
  </si>
  <si>
    <t>GCM1555C1H680JA16D</t>
  </si>
  <si>
    <t>4.7u/16(X5R)</t>
  </si>
  <si>
    <t>CAP CER 4.7UF 16V X5R 0603</t>
  </si>
  <si>
    <t xml:space="preserve">C117, C118, C120, </t>
  </si>
  <si>
    <t>GRM188R61C475KAAJD</t>
  </si>
  <si>
    <t>OPEN</t>
  </si>
  <si>
    <t xml:space="preserve">C123, </t>
  </si>
  <si>
    <t>CON-SMA-EDGE-S</t>
  </si>
  <si>
    <t>CONN SMA JACK STR EDGE MNT</t>
  </si>
  <si>
    <t xml:space="preserve">CN101, </t>
  </si>
  <si>
    <t>RF_Solutions:CON-SMA-EDGE-S</t>
  </si>
  <si>
    <t>RF Solutions</t>
  </si>
  <si>
    <t>ULO-PH409-1*2SF11</t>
  </si>
  <si>
    <t>CON HEADER 2 PIN THROUGHTHOLE 6.1/2.5/3mm HEIGHT</t>
  </si>
  <si>
    <t xml:space="preserve">CN102, CN105, CN107, CN109, CN110, CN111, </t>
  </si>
  <si>
    <t>ulo:ULO-PH409-1x2SX1</t>
  </si>
  <si>
    <t>ULO Electronic</t>
  </si>
  <si>
    <t>ULO-PH409-1x2SX1</t>
  </si>
  <si>
    <t>SM04B-SRSS-TB(LF)(SN)</t>
  </si>
  <si>
    <t>CONN HEADER SH 4POS SIDE 1MM TIN</t>
  </si>
  <si>
    <t xml:space="preserve">CN103, </t>
  </si>
  <si>
    <t>Connectors_JST:SM04B-SRSS-TB</t>
  </si>
  <si>
    <t>JST</t>
  </si>
  <si>
    <t>S2B-PH-SM4-TB(LF)(SN)</t>
  </si>
  <si>
    <t>CONN HEADER PH SIDE 2POS 2MM SMD</t>
  </si>
  <si>
    <t xml:space="preserve">CN104, </t>
  </si>
  <si>
    <t>Connectors_JST:S2B-PH-SM4-TB</t>
  </si>
  <si>
    <t>ULO-PH409-1*4SF11</t>
  </si>
  <si>
    <t>CON HEADER 4 PIN THROUGHTHOLE 6.1/2.5/3mm HEIGHT</t>
  </si>
  <si>
    <t xml:space="preserve">CN112, </t>
  </si>
  <si>
    <t>ulo:ULO-PH409-1x4SX1</t>
  </si>
  <si>
    <t>ULO Electric</t>
  </si>
  <si>
    <t>PMEG6010AESBYL</t>
  </si>
  <si>
    <t>DIODE SCHOTTKY 60V 1A DSN1006-2</t>
  </si>
  <si>
    <t xml:space="preserve">D101, D102, D105, D106, </t>
  </si>
  <si>
    <t>Diodes_SMD:SOD-993_Nexperia</t>
  </si>
  <si>
    <t>Nexperia</t>
  </si>
  <si>
    <t>S210FA</t>
  </si>
  <si>
    <t>DIODE SCHOTTKY 100V 2A SOD123FA</t>
  </si>
  <si>
    <t xml:space="preserve">D103, </t>
  </si>
  <si>
    <t>Diodes_SMD:SOD-123FA_OnSemi</t>
  </si>
  <si>
    <t>ON Semiconductor</t>
  </si>
  <si>
    <t>MM3Z39VT1G</t>
  </si>
  <si>
    <t>DIODE ZENER 39V 300MW SOD323</t>
  </si>
  <si>
    <t xml:space="preserve">D104, </t>
  </si>
  <si>
    <t>Diodes_SMD:SOD-323</t>
  </si>
  <si>
    <t>BLM18PG330SN1D</t>
  </si>
  <si>
    <t>FERRITE CHIP 33 OHM 3000MA 0603</t>
  </si>
  <si>
    <t xml:space="preserve">FB101, FB102, </t>
  </si>
  <si>
    <t>murata:BLM18</t>
  </si>
  <si>
    <t>NR5040T4R7N</t>
  </si>
  <si>
    <t>FIXED IND 4.7UH 3.1A 37.7 MOHM</t>
  </si>
  <si>
    <t xml:space="preserve">L101, </t>
  </si>
  <si>
    <t>taiyo-yuden:NR5040</t>
  </si>
  <si>
    <t>Taiyo Yuden</t>
  </si>
  <si>
    <t>DFE252012P-3R3M=P2</t>
  </si>
  <si>
    <t>FIXED IND 3.3UH 2.3A 140 MOHM</t>
  </si>
  <si>
    <t xml:space="preserve">L102, </t>
  </si>
  <si>
    <t>murata:DFE252012C</t>
  </si>
  <si>
    <t>DFE252012P</t>
  </si>
  <si>
    <t>82kF</t>
  </si>
  <si>
    <t>RES SMD 82K OHM 1% 1/16W 0402</t>
  </si>
  <si>
    <t xml:space="preserve">R101, </t>
  </si>
  <si>
    <t>yageo:R_0402</t>
  </si>
  <si>
    <t>RC0402FR-0782KL</t>
  </si>
  <si>
    <t>18kF</t>
  </si>
  <si>
    <t>RES SMD 18K OHM 5% 1/16W 0402</t>
  </si>
  <si>
    <t xml:space="preserve">R102, </t>
  </si>
  <si>
    <t>RC0402FR-0718KL</t>
  </si>
  <si>
    <t>27mF(1/4W)</t>
  </si>
  <si>
    <t>RES 0.027 OHM 1% 1/4W 1206 3216Metric</t>
  </si>
  <si>
    <t xml:space="preserve">R103, R107, </t>
  </si>
  <si>
    <t>yageo:R_1206</t>
  </si>
  <si>
    <t>RL1206FR-070R027L</t>
  </si>
  <si>
    <t>10kF</t>
  </si>
  <si>
    <t>RES SMD 10K OHM 1% 1/16W 0402</t>
  </si>
  <si>
    <t xml:space="preserve">R104, R116, </t>
  </si>
  <si>
    <t>RC0402FR-0710KL</t>
  </si>
  <si>
    <t>RES SMD 100K OHM 1% 1/16W 0402</t>
  </si>
  <si>
    <t xml:space="preserve">R105, R106, R108, R114, R119, </t>
  </si>
  <si>
    <t>750kF</t>
  </si>
  <si>
    <t>RES SMD 750K OHM 1% 1/16W 0402</t>
  </si>
  <si>
    <t xml:space="preserve">R109, </t>
  </si>
  <si>
    <t>RC0402FR-07750KL</t>
  </si>
  <si>
    <t>91kF</t>
  </si>
  <si>
    <t>RES SMD 91K OHM 1% 1/16W 0402</t>
  </si>
  <si>
    <t xml:space="preserve">R110, </t>
  </si>
  <si>
    <t>RC0402FR-0791KL</t>
  </si>
  <si>
    <t>820kF</t>
  </si>
  <si>
    <t>RES SMD 820K OHM 1% 1/16W 0402</t>
  </si>
  <si>
    <t xml:space="preserve">R111, </t>
  </si>
  <si>
    <t>RC0402FR-07820KL</t>
  </si>
  <si>
    <t>RES SMD 0.0OHM JUMPER 1/16W 0402</t>
  </si>
  <si>
    <t xml:space="preserve">R113, R115, </t>
  </si>
  <si>
    <t>RC0402FR-070RL</t>
  </si>
  <si>
    <t>RES SMD 0.0OHM JUMPER 1/10W 0603</t>
  </si>
  <si>
    <t>yageo:R_0603</t>
  </si>
  <si>
    <t>RC0603FR-070RL</t>
  </si>
  <si>
    <t>NCP15XH103F03RC</t>
  </si>
  <si>
    <t>THERMISTOR 10K OHM NTC 0402 SMD</t>
  </si>
  <si>
    <t xml:space="preserve">R118, </t>
  </si>
  <si>
    <t>murata:NTC_0402</t>
  </si>
  <si>
    <t>100kF</t>
  </si>
  <si>
    <t xml:space="preserve">R120, R126, </t>
  </si>
  <si>
    <t>RC0402FR-07100KL</t>
  </si>
  <si>
    <t>143kF</t>
  </si>
  <si>
    <t>RES SMD 143K OHM 1% 1/16W 0402</t>
  </si>
  <si>
    <t xml:space="preserve">R121, </t>
  </si>
  <si>
    <t>RC0402FR-07143KL</t>
  </si>
  <si>
    <t>RES SMD 100K OHM 1% 1/10W 0603</t>
  </si>
  <si>
    <t xml:space="preserve">R123, </t>
  </si>
  <si>
    <t>RC0603FR-07100KL</t>
  </si>
  <si>
    <t>RES SMD 10K OHM 1% 1/10W 0603</t>
  </si>
  <si>
    <t xml:space="preserve">R124, </t>
  </si>
  <si>
    <t>RC0603FR-0710KL</t>
  </si>
  <si>
    <t>CUS-12TB</t>
  </si>
  <si>
    <t>SWITCH SLIDE SPDT 300MA 4V</t>
  </si>
  <si>
    <t xml:space="preserve">SW101, </t>
  </si>
  <si>
    <t>Nidec_Copal_Electronics:CUS-12TB</t>
  </si>
  <si>
    <t>Nidec Copal Electronics</t>
  </si>
  <si>
    <t>TP1.0</t>
  </si>
  <si>
    <t>TEST POINT 1mm</t>
  </si>
  <si>
    <t xml:space="preserve">TP101, TP102, TP103, TP104, TP105, TP106, TP107, TP108, TP109, TP110, TP111, TP112, TP113, TP114, </t>
  </si>
  <si>
    <t>TestPoint:TP_1mm</t>
  </si>
  <si>
    <t>TS30042-M000QFNR</t>
  </si>
  <si>
    <t>IC REG BUCK ADJ 2A SYNC 16-VQFN</t>
  </si>
  <si>
    <t xml:space="preserve">U101, </t>
  </si>
  <si>
    <t>Housings_DFN_QFN:QFN-16-1EP_3x3mm_Pitch0.5mm_Semtech</t>
  </si>
  <si>
    <t>Semtech</t>
  </si>
  <si>
    <t>MP2155GQ-Z</t>
  </si>
  <si>
    <t>IC REG BCK BST 3.3V/ADJ 10QFN</t>
  </si>
  <si>
    <t xml:space="preserve">U102, </t>
  </si>
  <si>
    <t>Housings_DFN_QFN:DFN-10-1EP_3x3mm_Pitch0.5mm_MPS</t>
  </si>
  <si>
    <t>Monolithic Power Systems Inc.</t>
  </si>
  <si>
    <t>PAC1720-1-AIA-TR</t>
  </si>
  <si>
    <t>IC CURRENT SENSE MON DUAL 10VDFN</t>
  </si>
  <si>
    <t xml:space="preserve">U103, </t>
  </si>
  <si>
    <t>Housings_DFN_QFN:DFN-10-1EP_3x3mm_Pitch0.5mm_microchip_9Q</t>
  </si>
  <si>
    <t>microchip</t>
  </si>
  <si>
    <t>MCP73871T-1CCI_ML</t>
  </si>
  <si>
    <t>USB/AC BATTERY CHARGER 4.1V 6H Timer 3.1V LBO</t>
  </si>
  <si>
    <t xml:space="preserve">U104, </t>
  </si>
  <si>
    <t>Housings_DFN_QFN:QFN-20-1EP_4x4mm_Pitch0.5mm_microchip_ML</t>
  </si>
  <si>
    <t>MCP73871T-1CCI/ML</t>
  </si>
  <si>
    <t>CG0402MLC-3.3LG</t>
  </si>
  <si>
    <t>VARISTOR 3.3V 0402</t>
  </si>
  <si>
    <t xml:space="preserve">VD101, </t>
  </si>
  <si>
    <t>bourns:CG0402</t>
  </si>
  <si>
    <t>Bourns Inc.</t>
  </si>
  <si>
    <t>Mount</t>
    <phoneticPr fontId="18"/>
  </si>
  <si>
    <t>Qty for 25Units</t>
    <phoneticPr fontId="18"/>
  </si>
  <si>
    <t>Retailer</t>
    <phoneticPr fontId="18"/>
  </si>
  <si>
    <t>Yes</t>
    <phoneticPr fontId="18"/>
  </si>
  <si>
    <t>No</t>
    <phoneticPr fontId="18"/>
  </si>
  <si>
    <t>0</t>
    <phoneticPr fontId="18"/>
  </si>
  <si>
    <t>No</t>
    <phoneticPr fontId="18"/>
  </si>
  <si>
    <t xml:space="preserve">R112, R117, 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</si>
</sst>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9"/>
      <color theme="1"/>
      <name val="Segoe UI"/>
      <family val="2"/>
      <charset val="128"/>
    </font>
    <font>
      <sz val="9"/>
      <color theme="1"/>
      <name val="Segoe UI"/>
      <family val="2"/>
      <charset val="128"/>
    </font>
    <font>
      <sz val="18"/>
      <color theme="3"/>
      <name val="ＭＳ Ｐゴシック"/>
      <family val="2"/>
      <charset val="128"/>
      <scheme val="major"/>
    </font>
    <font>
      <b/>
      <sz val="15"/>
      <color theme="3"/>
      <name val="Segoe UI"/>
      <family val="2"/>
      <charset val="128"/>
    </font>
    <font>
      <b/>
      <sz val="13"/>
      <color theme="3"/>
      <name val="Segoe UI"/>
      <family val="2"/>
      <charset val="128"/>
    </font>
    <font>
      <b/>
      <sz val="11"/>
      <color theme="3"/>
      <name val="Segoe UI"/>
      <family val="2"/>
      <charset val="128"/>
    </font>
    <font>
      <sz val="9"/>
      <color rgb="FF006100"/>
      <name val="Segoe UI"/>
      <family val="2"/>
      <charset val="128"/>
    </font>
    <font>
      <sz val="9"/>
      <color rgb="FF9C0006"/>
      <name val="Segoe UI"/>
      <family val="2"/>
      <charset val="128"/>
    </font>
    <font>
      <sz val="9"/>
      <color rgb="FF9C6500"/>
      <name val="Segoe UI"/>
      <family val="2"/>
      <charset val="128"/>
    </font>
    <font>
      <sz val="9"/>
      <color rgb="FF3F3F76"/>
      <name val="Segoe UI"/>
      <family val="2"/>
      <charset val="128"/>
    </font>
    <font>
      <b/>
      <sz val="9"/>
      <color rgb="FF3F3F3F"/>
      <name val="Segoe UI"/>
      <family val="2"/>
      <charset val="128"/>
    </font>
    <font>
      <b/>
      <sz val="9"/>
      <color rgb="FFFA7D00"/>
      <name val="Segoe UI"/>
      <family val="2"/>
      <charset val="128"/>
    </font>
    <font>
      <sz val="9"/>
      <color rgb="FFFA7D00"/>
      <name val="Segoe UI"/>
      <family val="2"/>
      <charset val="128"/>
    </font>
    <font>
      <b/>
      <sz val="9"/>
      <color theme="0"/>
      <name val="Segoe UI"/>
      <family val="2"/>
      <charset val="128"/>
    </font>
    <font>
      <sz val="9"/>
      <color rgb="FFFF0000"/>
      <name val="Segoe UI"/>
      <family val="2"/>
      <charset val="128"/>
    </font>
    <font>
      <i/>
      <sz val="9"/>
      <color rgb="FF7F7F7F"/>
      <name val="Segoe UI"/>
      <family val="2"/>
      <charset val="128"/>
    </font>
    <font>
      <b/>
      <sz val="9"/>
      <color theme="1"/>
      <name val="Segoe UI"/>
      <family val="2"/>
      <charset val="128"/>
    </font>
    <font>
      <sz val="9"/>
      <color theme="0"/>
      <name val="Segoe UI"/>
      <family val="2"/>
      <charset val="128"/>
    </font>
    <font>
      <sz val="6"/>
      <name val="Segoe UI"/>
      <family val="2"/>
      <charset val="128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33" borderId="0" xfId="0" applyFill="1">
      <alignment vertical="center"/>
    </xf>
    <xf numFmtId="0" fontId="0" fillId="33" borderId="0" xfId="0" applyFill="1" applyAlignment="1">
      <alignment vertical="center" wrapText="1"/>
    </xf>
    <xf numFmtId="0" fontId="0" fillId="0" borderId="0" xfId="0" quotePrefix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Views>
    <sheetView tabSelected="1" workbookViewId="0">
      <selection activeCell="B1" sqref="B1"/>
    </sheetView>
  </sheetViews>
  <sheetFormatPr defaultRowHeight="12" x14ac:dyDescent="0.2"/>
  <cols>
    <col min="2" max="2" width="29.1640625" customWidth="1"/>
    <col min="3" max="3" width="42.33203125" customWidth="1"/>
    <col min="4" max="4" width="44.5" customWidth="1"/>
    <col min="5" max="5" width="33.1640625" customWidth="1"/>
    <col min="6" max="6" width="32.1640625" customWidth="1"/>
    <col min="7" max="7" width="24.33203125" customWidth="1"/>
    <col min="8" max="8" width="11.5" customWidth="1"/>
  </cols>
  <sheetData>
    <row r="1" spans="1:10" x14ac:dyDescent="0.2">
      <c r="A1" t="s">
        <v>0</v>
      </c>
      <c r="B1" t="s">
        <v>1</v>
      </c>
    </row>
    <row r="2" spans="1:10" x14ac:dyDescent="0.2">
      <c r="A2" t="s">
        <v>2</v>
      </c>
      <c r="B2" t="s">
        <v>3</v>
      </c>
    </row>
    <row r="3" spans="1:10" x14ac:dyDescent="0.2">
      <c r="A3" t="s">
        <v>4</v>
      </c>
      <c r="B3" t="s">
        <v>5</v>
      </c>
    </row>
    <row r="4" spans="1:10" x14ac:dyDescent="0.2">
      <c r="A4" t="s">
        <v>6</v>
      </c>
      <c r="B4" t="s">
        <v>7</v>
      </c>
    </row>
    <row r="5" spans="1:10" x14ac:dyDescent="0.2">
      <c r="A5" t="s">
        <v>8</v>
      </c>
      <c r="B5">
        <v>84</v>
      </c>
    </row>
    <row r="6" spans="1:10" ht="24" x14ac:dyDescent="0.2">
      <c r="A6" s="1" t="s">
        <v>212</v>
      </c>
      <c r="B6" s="1" t="s">
        <v>9</v>
      </c>
      <c r="C6" s="1" t="s">
        <v>10</v>
      </c>
      <c r="D6" s="2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213</v>
      </c>
      <c r="J6" s="1" t="s">
        <v>214</v>
      </c>
    </row>
    <row r="7" spans="1:10" x14ac:dyDescent="0.2">
      <c r="A7" t="s">
        <v>215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>
        <v>1</v>
      </c>
      <c r="I7">
        <f>H7*25</f>
        <v>25</v>
      </c>
    </row>
    <row r="8" spans="1:10" x14ac:dyDescent="0.2">
      <c r="A8" t="s">
        <v>215</v>
      </c>
      <c r="B8" t="s">
        <v>22</v>
      </c>
      <c r="C8" t="s">
        <v>23</v>
      </c>
      <c r="D8" t="s">
        <v>24</v>
      </c>
      <c r="E8" t="s">
        <v>25</v>
      </c>
      <c r="F8" t="s">
        <v>26</v>
      </c>
      <c r="G8" t="s">
        <v>27</v>
      </c>
      <c r="H8">
        <v>2</v>
      </c>
      <c r="I8">
        <f t="shared" ref="I8:I51" si="0">H8*25</f>
        <v>50</v>
      </c>
    </row>
    <row r="9" spans="1:10" x14ac:dyDescent="0.2">
      <c r="A9" t="s">
        <v>215</v>
      </c>
      <c r="B9" t="s">
        <v>28</v>
      </c>
      <c r="C9" t="s">
        <v>29</v>
      </c>
      <c r="D9" t="s">
        <v>30</v>
      </c>
      <c r="E9" t="s">
        <v>19</v>
      </c>
      <c r="F9" t="s">
        <v>20</v>
      </c>
      <c r="G9" t="s">
        <v>31</v>
      </c>
      <c r="H9">
        <v>4</v>
      </c>
      <c r="I9">
        <f t="shared" si="0"/>
        <v>100</v>
      </c>
    </row>
    <row r="10" spans="1:10" x14ac:dyDescent="0.2">
      <c r="A10" t="s">
        <v>215</v>
      </c>
      <c r="B10" t="s">
        <v>32</v>
      </c>
      <c r="C10" t="s">
        <v>33</v>
      </c>
      <c r="D10" t="s">
        <v>34</v>
      </c>
      <c r="E10" t="s">
        <v>19</v>
      </c>
      <c r="F10" t="s">
        <v>20</v>
      </c>
      <c r="G10" t="s">
        <v>35</v>
      </c>
      <c r="H10">
        <v>1</v>
      </c>
      <c r="I10">
        <f t="shared" si="0"/>
        <v>25</v>
      </c>
    </row>
    <row r="11" spans="1:10" x14ac:dyDescent="0.2">
      <c r="A11" t="s">
        <v>215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 t="s">
        <v>41</v>
      </c>
      <c r="H11">
        <v>1</v>
      </c>
      <c r="I11">
        <f t="shared" si="0"/>
        <v>25</v>
      </c>
    </row>
    <row r="12" spans="1:10" x14ac:dyDescent="0.2">
      <c r="A12" t="s">
        <v>215</v>
      </c>
      <c r="B12" t="s">
        <v>42</v>
      </c>
      <c r="C12" t="s">
        <v>43</v>
      </c>
      <c r="D12" t="s">
        <v>44</v>
      </c>
      <c r="E12" t="s">
        <v>39</v>
      </c>
      <c r="F12" t="s">
        <v>26</v>
      </c>
      <c r="G12" t="s">
        <v>45</v>
      </c>
      <c r="H12">
        <v>2</v>
      </c>
      <c r="I12">
        <f t="shared" si="0"/>
        <v>50</v>
      </c>
    </row>
    <row r="13" spans="1:10" x14ac:dyDescent="0.2">
      <c r="A13" t="s">
        <v>215</v>
      </c>
      <c r="B13" t="s">
        <v>46</v>
      </c>
      <c r="C13" t="s">
        <v>47</v>
      </c>
      <c r="D13" t="s">
        <v>48</v>
      </c>
      <c r="E13" t="s">
        <v>19</v>
      </c>
      <c r="F13" t="s">
        <v>49</v>
      </c>
      <c r="G13" t="s">
        <v>50</v>
      </c>
      <c r="H13">
        <v>1</v>
      </c>
      <c r="I13">
        <f t="shared" si="0"/>
        <v>25</v>
      </c>
    </row>
    <row r="14" spans="1:10" x14ac:dyDescent="0.2">
      <c r="A14" t="s">
        <v>215</v>
      </c>
      <c r="B14" t="s">
        <v>51</v>
      </c>
      <c r="C14" t="s">
        <v>52</v>
      </c>
      <c r="D14" t="s">
        <v>53</v>
      </c>
      <c r="E14" t="s">
        <v>54</v>
      </c>
      <c r="F14" t="s">
        <v>20</v>
      </c>
      <c r="G14" t="s">
        <v>55</v>
      </c>
      <c r="H14">
        <v>1</v>
      </c>
      <c r="I14">
        <f t="shared" si="0"/>
        <v>25</v>
      </c>
    </row>
    <row r="15" spans="1:10" x14ac:dyDescent="0.2">
      <c r="A15" t="s">
        <v>215</v>
      </c>
      <c r="B15" t="s">
        <v>56</v>
      </c>
      <c r="C15" t="s">
        <v>57</v>
      </c>
      <c r="D15" t="s">
        <v>58</v>
      </c>
      <c r="E15" t="s">
        <v>54</v>
      </c>
      <c r="F15" t="s">
        <v>20</v>
      </c>
      <c r="G15" t="s">
        <v>59</v>
      </c>
      <c r="H15">
        <v>2</v>
      </c>
      <c r="I15">
        <f t="shared" si="0"/>
        <v>50</v>
      </c>
    </row>
    <row r="16" spans="1:10" x14ac:dyDescent="0.2">
      <c r="A16" t="s">
        <v>215</v>
      </c>
      <c r="B16" t="s">
        <v>60</v>
      </c>
      <c r="C16" t="s">
        <v>61</v>
      </c>
      <c r="D16" t="s">
        <v>62</v>
      </c>
      <c r="E16" t="s">
        <v>19</v>
      </c>
      <c r="F16" t="s">
        <v>20</v>
      </c>
      <c r="G16" t="s">
        <v>63</v>
      </c>
      <c r="H16">
        <v>1</v>
      </c>
      <c r="I16">
        <f t="shared" si="0"/>
        <v>25</v>
      </c>
    </row>
    <row r="17" spans="1:9" x14ac:dyDescent="0.2">
      <c r="A17" t="s">
        <v>215</v>
      </c>
      <c r="B17" t="s">
        <v>64</v>
      </c>
      <c r="C17" t="s">
        <v>65</v>
      </c>
      <c r="D17" t="s">
        <v>66</v>
      </c>
      <c r="E17" t="s">
        <v>54</v>
      </c>
      <c r="F17" t="s">
        <v>20</v>
      </c>
      <c r="G17" t="s">
        <v>67</v>
      </c>
      <c r="H17">
        <v>3</v>
      </c>
      <c r="I17">
        <f t="shared" si="0"/>
        <v>75</v>
      </c>
    </row>
    <row r="18" spans="1:9" x14ac:dyDescent="0.2">
      <c r="A18" t="s">
        <v>218</v>
      </c>
      <c r="B18" t="s">
        <v>68</v>
      </c>
      <c r="D18" t="s">
        <v>69</v>
      </c>
      <c r="E18" t="s">
        <v>54</v>
      </c>
      <c r="H18">
        <v>1</v>
      </c>
      <c r="I18">
        <f t="shared" si="0"/>
        <v>25</v>
      </c>
    </row>
    <row r="19" spans="1:9" x14ac:dyDescent="0.2">
      <c r="A19" t="s">
        <v>216</v>
      </c>
      <c r="B19" t="s">
        <v>70</v>
      </c>
      <c r="C19" t="s">
        <v>71</v>
      </c>
      <c r="D19" t="s">
        <v>72</v>
      </c>
      <c r="E19" t="s">
        <v>73</v>
      </c>
      <c r="F19" t="s">
        <v>74</v>
      </c>
      <c r="G19" t="s">
        <v>70</v>
      </c>
      <c r="H19">
        <v>1</v>
      </c>
      <c r="I19">
        <f t="shared" si="0"/>
        <v>25</v>
      </c>
    </row>
    <row r="20" spans="1:9" x14ac:dyDescent="0.2">
      <c r="A20" t="s">
        <v>216</v>
      </c>
      <c r="B20" t="s">
        <v>75</v>
      </c>
      <c r="C20" t="s">
        <v>76</v>
      </c>
      <c r="D20" t="s">
        <v>77</v>
      </c>
      <c r="E20" t="s">
        <v>78</v>
      </c>
      <c r="F20" t="s">
        <v>79</v>
      </c>
      <c r="G20" t="s">
        <v>80</v>
      </c>
      <c r="H20">
        <v>6</v>
      </c>
      <c r="I20">
        <f t="shared" si="0"/>
        <v>150</v>
      </c>
    </row>
    <row r="21" spans="1:9" x14ac:dyDescent="0.2">
      <c r="A21" t="s">
        <v>215</v>
      </c>
      <c r="B21" t="s">
        <v>81</v>
      </c>
      <c r="C21" t="s">
        <v>82</v>
      </c>
      <c r="D21" t="s">
        <v>83</v>
      </c>
      <c r="E21" t="s">
        <v>84</v>
      </c>
      <c r="F21" t="s">
        <v>85</v>
      </c>
      <c r="G21" t="s">
        <v>81</v>
      </c>
      <c r="H21">
        <v>1</v>
      </c>
      <c r="I21">
        <f t="shared" si="0"/>
        <v>25</v>
      </c>
    </row>
    <row r="22" spans="1:9" x14ac:dyDescent="0.2">
      <c r="A22" t="s">
        <v>215</v>
      </c>
      <c r="B22" t="s">
        <v>86</v>
      </c>
      <c r="C22" t="s">
        <v>87</v>
      </c>
      <c r="D22" t="s">
        <v>88</v>
      </c>
      <c r="E22" t="s">
        <v>89</v>
      </c>
      <c r="F22" t="s">
        <v>85</v>
      </c>
      <c r="G22" t="s">
        <v>86</v>
      </c>
      <c r="H22">
        <v>1</v>
      </c>
      <c r="I22">
        <f t="shared" si="0"/>
        <v>25</v>
      </c>
    </row>
    <row r="23" spans="1:9" x14ac:dyDescent="0.2">
      <c r="A23" t="s">
        <v>216</v>
      </c>
      <c r="B23" t="s">
        <v>90</v>
      </c>
      <c r="C23" t="s">
        <v>91</v>
      </c>
      <c r="D23" t="s">
        <v>92</v>
      </c>
      <c r="E23" t="s">
        <v>93</v>
      </c>
      <c r="F23" t="s">
        <v>94</v>
      </c>
      <c r="G23" t="s">
        <v>90</v>
      </c>
      <c r="H23">
        <v>1</v>
      </c>
      <c r="I23">
        <f t="shared" si="0"/>
        <v>25</v>
      </c>
    </row>
    <row r="24" spans="1:9" x14ac:dyDescent="0.2">
      <c r="A24" t="s">
        <v>215</v>
      </c>
      <c r="B24" t="s">
        <v>95</v>
      </c>
      <c r="C24" t="s">
        <v>96</v>
      </c>
      <c r="D24" t="s">
        <v>97</v>
      </c>
      <c r="E24" t="s">
        <v>98</v>
      </c>
      <c r="F24" t="s">
        <v>99</v>
      </c>
      <c r="G24" t="s">
        <v>95</v>
      </c>
      <c r="H24">
        <v>4</v>
      </c>
      <c r="I24">
        <f t="shared" si="0"/>
        <v>100</v>
      </c>
    </row>
    <row r="25" spans="1:9" x14ac:dyDescent="0.2">
      <c r="A25" t="s">
        <v>215</v>
      </c>
      <c r="B25" t="s">
        <v>100</v>
      </c>
      <c r="C25" t="s">
        <v>101</v>
      </c>
      <c r="D25" t="s">
        <v>102</v>
      </c>
      <c r="E25" t="s">
        <v>103</v>
      </c>
      <c r="F25" t="s">
        <v>104</v>
      </c>
      <c r="G25" t="s">
        <v>100</v>
      </c>
      <c r="H25">
        <v>1</v>
      </c>
      <c r="I25">
        <f t="shared" si="0"/>
        <v>25</v>
      </c>
    </row>
    <row r="26" spans="1:9" x14ac:dyDescent="0.2">
      <c r="A26" t="s">
        <v>215</v>
      </c>
      <c r="B26" t="s">
        <v>105</v>
      </c>
      <c r="C26" t="s">
        <v>106</v>
      </c>
      <c r="D26" t="s">
        <v>107</v>
      </c>
      <c r="E26" t="s">
        <v>108</v>
      </c>
      <c r="F26" t="s">
        <v>104</v>
      </c>
      <c r="G26" t="s">
        <v>105</v>
      </c>
      <c r="H26">
        <v>1</v>
      </c>
      <c r="I26">
        <f t="shared" si="0"/>
        <v>25</v>
      </c>
    </row>
    <row r="27" spans="1:9" x14ac:dyDescent="0.2">
      <c r="A27" t="s">
        <v>215</v>
      </c>
      <c r="B27" t="s">
        <v>109</v>
      </c>
      <c r="C27" t="s">
        <v>110</v>
      </c>
      <c r="D27" t="s">
        <v>111</v>
      </c>
      <c r="E27" t="s">
        <v>112</v>
      </c>
      <c r="F27" t="s">
        <v>20</v>
      </c>
      <c r="G27" t="s">
        <v>109</v>
      </c>
      <c r="H27">
        <v>2</v>
      </c>
      <c r="I27">
        <f t="shared" si="0"/>
        <v>50</v>
      </c>
    </row>
    <row r="28" spans="1:9" x14ac:dyDescent="0.2">
      <c r="A28" t="s">
        <v>215</v>
      </c>
      <c r="B28" t="s">
        <v>113</v>
      </c>
      <c r="C28" t="s">
        <v>114</v>
      </c>
      <c r="D28" t="s">
        <v>115</v>
      </c>
      <c r="E28" t="s">
        <v>116</v>
      </c>
      <c r="F28" t="s">
        <v>117</v>
      </c>
      <c r="G28" t="s">
        <v>113</v>
      </c>
      <c r="H28">
        <v>1</v>
      </c>
      <c r="I28">
        <f t="shared" si="0"/>
        <v>25</v>
      </c>
    </row>
    <row r="29" spans="1:9" x14ac:dyDescent="0.2">
      <c r="A29" t="s">
        <v>215</v>
      </c>
      <c r="B29" t="s">
        <v>118</v>
      </c>
      <c r="C29" t="s">
        <v>119</v>
      </c>
      <c r="D29" t="s">
        <v>120</v>
      </c>
      <c r="E29" t="s">
        <v>121</v>
      </c>
      <c r="F29" t="s">
        <v>40</v>
      </c>
      <c r="G29" t="s">
        <v>122</v>
      </c>
      <c r="H29">
        <v>1</v>
      </c>
      <c r="I29">
        <f t="shared" si="0"/>
        <v>25</v>
      </c>
    </row>
    <row r="30" spans="1:9" x14ac:dyDescent="0.2">
      <c r="A30" t="s">
        <v>215</v>
      </c>
      <c r="B30" t="s">
        <v>123</v>
      </c>
      <c r="C30" t="s">
        <v>124</v>
      </c>
      <c r="D30" t="s">
        <v>125</v>
      </c>
      <c r="E30" t="s">
        <v>126</v>
      </c>
      <c r="F30" t="s">
        <v>49</v>
      </c>
      <c r="G30" t="s">
        <v>127</v>
      </c>
      <c r="H30">
        <v>1</v>
      </c>
      <c r="I30">
        <f t="shared" si="0"/>
        <v>25</v>
      </c>
    </row>
    <row r="31" spans="1:9" x14ac:dyDescent="0.2">
      <c r="A31" t="s">
        <v>215</v>
      </c>
      <c r="B31" t="s">
        <v>128</v>
      </c>
      <c r="C31" t="s">
        <v>129</v>
      </c>
      <c r="D31" t="s">
        <v>130</v>
      </c>
      <c r="E31" t="s">
        <v>126</v>
      </c>
      <c r="F31" t="s">
        <v>49</v>
      </c>
      <c r="G31" t="s">
        <v>131</v>
      </c>
      <c r="H31">
        <v>1</v>
      </c>
      <c r="I31">
        <f t="shared" si="0"/>
        <v>25</v>
      </c>
    </row>
    <row r="32" spans="1:9" x14ac:dyDescent="0.2">
      <c r="A32" t="s">
        <v>215</v>
      </c>
      <c r="B32" t="s">
        <v>132</v>
      </c>
      <c r="C32" t="s">
        <v>133</v>
      </c>
      <c r="D32" t="s">
        <v>134</v>
      </c>
      <c r="E32" t="s">
        <v>135</v>
      </c>
      <c r="F32" t="s">
        <v>49</v>
      </c>
      <c r="G32" t="s">
        <v>136</v>
      </c>
      <c r="H32">
        <v>2</v>
      </c>
      <c r="I32">
        <f t="shared" si="0"/>
        <v>50</v>
      </c>
    </row>
    <row r="33" spans="1:9" x14ac:dyDescent="0.2">
      <c r="A33" t="s">
        <v>215</v>
      </c>
      <c r="B33" t="s">
        <v>137</v>
      </c>
      <c r="C33" t="s">
        <v>138</v>
      </c>
      <c r="D33" t="s">
        <v>139</v>
      </c>
      <c r="E33" t="s">
        <v>126</v>
      </c>
      <c r="F33" t="s">
        <v>49</v>
      </c>
      <c r="G33" t="s">
        <v>140</v>
      </c>
      <c r="H33">
        <v>2</v>
      </c>
      <c r="I33">
        <f t="shared" si="0"/>
        <v>50</v>
      </c>
    </row>
    <row r="34" spans="1:9" x14ac:dyDescent="0.2">
      <c r="A34" t="s">
        <v>216</v>
      </c>
      <c r="B34" t="s">
        <v>68</v>
      </c>
      <c r="D34" t="s">
        <v>142</v>
      </c>
      <c r="E34" t="s">
        <v>126</v>
      </c>
      <c r="H34">
        <v>5</v>
      </c>
      <c r="I34">
        <f t="shared" si="0"/>
        <v>125</v>
      </c>
    </row>
    <row r="35" spans="1:9" x14ac:dyDescent="0.2">
      <c r="A35" t="s">
        <v>215</v>
      </c>
      <c r="B35" t="s">
        <v>143</v>
      </c>
      <c r="C35" t="s">
        <v>144</v>
      </c>
      <c r="D35" t="s">
        <v>145</v>
      </c>
      <c r="E35" t="s">
        <v>126</v>
      </c>
      <c r="F35" t="s">
        <v>49</v>
      </c>
      <c r="G35" t="s">
        <v>146</v>
      </c>
      <c r="H35">
        <v>1</v>
      </c>
      <c r="I35">
        <f t="shared" si="0"/>
        <v>25</v>
      </c>
    </row>
    <row r="36" spans="1:9" x14ac:dyDescent="0.2">
      <c r="A36" t="s">
        <v>215</v>
      </c>
      <c r="B36" t="s">
        <v>147</v>
      </c>
      <c r="C36" t="s">
        <v>148</v>
      </c>
      <c r="D36" t="s">
        <v>149</v>
      </c>
      <c r="E36" t="s">
        <v>126</v>
      </c>
      <c r="F36" t="s">
        <v>49</v>
      </c>
      <c r="G36" t="s">
        <v>150</v>
      </c>
      <c r="H36">
        <v>1</v>
      </c>
      <c r="I36">
        <f t="shared" si="0"/>
        <v>25</v>
      </c>
    </row>
    <row r="37" spans="1:9" x14ac:dyDescent="0.2">
      <c r="A37" t="s">
        <v>215</v>
      </c>
      <c r="B37" t="s">
        <v>151</v>
      </c>
      <c r="C37" t="s">
        <v>152</v>
      </c>
      <c r="D37" t="s">
        <v>153</v>
      </c>
      <c r="E37" t="s">
        <v>126</v>
      </c>
      <c r="F37" t="s">
        <v>49</v>
      </c>
      <c r="G37" t="s">
        <v>154</v>
      </c>
      <c r="H37">
        <v>1</v>
      </c>
      <c r="I37">
        <f t="shared" si="0"/>
        <v>25</v>
      </c>
    </row>
    <row r="38" spans="1:9" x14ac:dyDescent="0.2">
      <c r="A38" t="s">
        <v>215</v>
      </c>
      <c r="B38" s="3" t="s">
        <v>217</v>
      </c>
      <c r="C38" t="s">
        <v>155</v>
      </c>
      <c r="D38" t="s">
        <v>156</v>
      </c>
      <c r="E38" t="s">
        <v>126</v>
      </c>
      <c r="F38" t="s">
        <v>49</v>
      </c>
      <c r="G38" t="s">
        <v>157</v>
      </c>
      <c r="H38">
        <v>2</v>
      </c>
      <c r="I38">
        <f t="shared" si="0"/>
        <v>50</v>
      </c>
    </row>
    <row r="39" spans="1:9" x14ac:dyDescent="0.2">
      <c r="A39" t="s">
        <v>215</v>
      </c>
      <c r="B39" s="3" t="s">
        <v>217</v>
      </c>
      <c r="C39" t="s">
        <v>158</v>
      </c>
      <c r="D39" t="s">
        <v>219</v>
      </c>
      <c r="E39" t="s">
        <v>159</v>
      </c>
      <c r="F39" t="s">
        <v>49</v>
      </c>
      <c r="G39" t="s">
        <v>160</v>
      </c>
      <c r="H39">
        <v>2</v>
      </c>
      <c r="I39">
        <f t="shared" si="0"/>
        <v>50</v>
      </c>
    </row>
    <row r="40" spans="1:9" x14ac:dyDescent="0.2">
      <c r="A40" t="s">
        <v>215</v>
      </c>
      <c r="B40" t="s">
        <v>161</v>
      </c>
      <c r="C40" t="s">
        <v>162</v>
      </c>
      <c r="D40" t="s">
        <v>163</v>
      </c>
      <c r="E40" t="s">
        <v>164</v>
      </c>
      <c r="F40" t="s">
        <v>40</v>
      </c>
      <c r="G40" t="s">
        <v>161</v>
      </c>
      <c r="H40">
        <v>1</v>
      </c>
      <c r="I40">
        <f t="shared" si="0"/>
        <v>25</v>
      </c>
    </row>
    <row r="41" spans="1:9" x14ac:dyDescent="0.2">
      <c r="A41" t="s">
        <v>215</v>
      </c>
      <c r="B41" t="s">
        <v>165</v>
      </c>
      <c r="C41" t="s">
        <v>141</v>
      </c>
      <c r="D41" t="s">
        <v>166</v>
      </c>
      <c r="E41" t="s">
        <v>126</v>
      </c>
      <c r="F41" t="s">
        <v>49</v>
      </c>
      <c r="G41" t="s">
        <v>167</v>
      </c>
      <c r="H41">
        <v>2</v>
      </c>
      <c r="I41">
        <f t="shared" si="0"/>
        <v>50</v>
      </c>
    </row>
    <row r="42" spans="1:9" x14ac:dyDescent="0.2">
      <c r="A42" t="s">
        <v>215</v>
      </c>
      <c r="B42" t="s">
        <v>168</v>
      </c>
      <c r="C42" t="s">
        <v>169</v>
      </c>
      <c r="D42" t="s">
        <v>170</v>
      </c>
      <c r="E42" t="s">
        <v>126</v>
      </c>
      <c r="F42" t="s">
        <v>49</v>
      </c>
      <c r="G42" t="s">
        <v>171</v>
      </c>
      <c r="H42">
        <v>1</v>
      </c>
      <c r="I42">
        <f t="shared" si="0"/>
        <v>25</v>
      </c>
    </row>
    <row r="43" spans="1:9" x14ac:dyDescent="0.2">
      <c r="A43" t="s">
        <v>215</v>
      </c>
      <c r="B43" t="s">
        <v>165</v>
      </c>
      <c r="C43" t="s">
        <v>172</v>
      </c>
      <c r="D43" t="s">
        <v>173</v>
      </c>
      <c r="E43" t="s">
        <v>159</v>
      </c>
      <c r="F43" t="s">
        <v>49</v>
      </c>
      <c r="G43" t="s">
        <v>174</v>
      </c>
      <c r="H43">
        <v>1</v>
      </c>
      <c r="I43">
        <f t="shared" si="0"/>
        <v>25</v>
      </c>
    </row>
    <row r="44" spans="1:9" x14ac:dyDescent="0.2">
      <c r="A44" t="s">
        <v>215</v>
      </c>
      <c r="B44" t="s">
        <v>137</v>
      </c>
      <c r="C44" t="s">
        <v>175</v>
      </c>
      <c r="D44" t="s">
        <v>176</v>
      </c>
      <c r="E44" t="s">
        <v>159</v>
      </c>
      <c r="F44" t="s">
        <v>49</v>
      </c>
      <c r="G44" t="s">
        <v>177</v>
      </c>
      <c r="H44">
        <v>1</v>
      </c>
      <c r="I44">
        <f t="shared" si="0"/>
        <v>25</v>
      </c>
    </row>
    <row r="45" spans="1:9" x14ac:dyDescent="0.2">
      <c r="A45" t="s">
        <v>215</v>
      </c>
      <c r="B45" t="s">
        <v>178</v>
      </c>
      <c r="C45" t="s">
        <v>179</v>
      </c>
      <c r="D45" t="s">
        <v>180</v>
      </c>
      <c r="E45" t="s">
        <v>181</v>
      </c>
      <c r="F45" t="s">
        <v>182</v>
      </c>
      <c r="G45" t="s">
        <v>178</v>
      </c>
      <c r="H45">
        <v>1</v>
      </c>
      <c r="I45">
        <f t="shared" si="0"/>
        <v>25</v>
      </c>
    </row>
    <row r="46" spans="1:9" x14ac:dyDescent="0.2">
      <c r="A46" t="s">
        <v>216</v>
      </c>
      <c r="B46" t="s">
        <v>183</v>
      </c>
      <c r="C46" t="s">
        <v>184</v>
      </c>
      <c r="D46" t="s">
        <v>185</v>
      </c>
      <c r="E46" t="s">
        <v>186</v>
      </c>
      <c r="H46">
        <v>14</v>
      </c>
      <c r="I46">
        <f t="shared" si="0"/>
        <v>350</v>
      </c>
    </row>
    <row r="47" spans="1:9" x14ac:dyDescent="0.2">
      <c r="A47" t="s">
        <v>215</v>
      </c>
      <c r="B47" t="s">
        <v>187</v>
      </c>
      <c r="C47" t="s">
        <v>188</v>
      </c>
      <c r="D47" t="s">
        <v>189</v>
      </c>
      <c r="E47" t="s">
        <v>190</v>
      </c>
      <c r="F47" t="s">
        <v>191</v>
      </c>
      <c r="G47" t="s">
        <v>187</v>
      </c>
      <c r="H47">
        <v>1</v>
      </c>
      <c r="I47">
        <f t="shared" si="0"/>
        <v>25</v>
      </c>
    </row>
    <row r="48" spans="1:9" x14ac:dyDescent="0.2">
      <c r="A48" t="s">
        <v>215</v>
      </c>
      <c r="B48" t="s">
        <v>192</v>
      </c>
      <c r="C48" t="s">
        <v>193</v>
      </c>
      <c r="D48" t="s">
        <v>194</v>
      </c>
      <c r="E48" t="s">
        <v>195</v>
      </c>
      <c r="F48" t="s">
        <v>196</v>
      </c>
      <c r="G48" t="s">
        <v>192</v>
      </c>
      <c r="H48">
        <v>1</v>
      </c>
      <c r="I48">
        <f t="shared" si="0"/>
        <v>25</v>
      </c>
    </row>
    <row r="49" spans="1:9" x14ac:dyDescent="0.2">
      <c r="A49" t="s">
        <v>215</v>
      </c>
      <c r="B49" t="s">
        <v>197</v>
      </c>
      <c r="C49" t="s">
        <v>198</v>
      </c>
      <c r="D49" t="s">
        <v>199</v>
      </c>
      <c r="E49" t="s">
        <v>200</v>
      </c>
      <c r="F49" t="s">
        <v>201</v>
      </c>
      <c r="G49" t="s">
        <v>197</v>
      </c>
      <c r="H49">
        <v>1</v>
      </c>
      <c r="I49">
        <f t="shared" si="0"/>
        <v>25</v>
      </c>
    </row>
    <row r="50" spans="1:9" x14ac:dyDescent="0.2">
      <c r="A50" t="s">
        <v>215</v>
      </c>
      <c r="B50" t="s">
        <v>202</v>
      </c>
      <c r="C50" t="s">
        <v>203</v>
      </c>
      <c r="D50" t="s">
        <v>204</v>
      </c>
      <c r="E50" t="s">
        <v>205</v>
      </c>
      <c r="F50" t="s">
        <v>201</v>
      </c>
      <c r="G50" t="s">
        <v>206</v>
      </c>
      <c r="H50">
        <v>1</v>
      </c>
      <c r="I50">
        <f t="shared" si="0"/>
        <v>25</v>
      </c>
    </row>
    <row r="51" spans="1:9" x14ac:dyDescent="0.2">
      <c r="A51" t="s">
        <v>215</v>
      </c>
      <c r="B51" t="s">
        <v>207</v>
      </c>
      <c r="C51" t="s">
        <v>208</v>
      </c>
      <c r="D51" t="s">
        <v>209</v>
      </c>
      <c r="E51" t="s">
        <v>210</v>
      </c>
      <c r="F51" t="s">
        <v>211</v>
      </c>
      <c r="G51" t="s">
        <v>207</v>
      </c>
      <c r="H51">
        <v>1</v>
      </c>
      <c r="I51">
        <f t="shared" si="0"/>
        <v>25</v>
      </c>
    </row>
  </sheetData>
  <phoneticPr fontId="18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Bill of Materials - WPT-02-RECE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A.S Electroworks</dc:creator>
  <cp:lastModifiedBy>A.S Electroworks</cp:lastModifiedBy>
  <dcterms:created xsi:type="dcterms:W3CDTF">2020-03-08T22:58:43Z</dcterms:created>
  <dcterms:modified xsi:type="dcterms:W3CDTF">2020-03-08T23:04:03Z</dcterms:modified>
</cp:coreProperties>
</file>